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11263ff88429f12f/Documents/Desktop/Current Audio/Projects/EDN DESIGN IDEAS/PWMs/Gold-plated PWM-controlled Regulator/"/>
    </mc:Choice>
  </mc:AlternateContent>
  <xr:revisionPtr revIDLastSave="125" documentId="8_{9ADB1110-DB57-4EAA-B8E4-93E755CF339C}" xr6:coauthVersionLast="47" xr6:coauthVersionMax="47" xr10:uidLastSave="{EA58E0A1-E207-46D8-8D35-62BF83EF9473}"/>
  <bookViews>
    <workbookView xWindow="-25935" yWindow="2310" windowWidth="21600" windowHeight="11295" xr2:uid="{F25829A2-E58E-4BC3-9EB5-A7E38E893D3F}"/>
  </bookViews>
  <sheets>
    <sheet name="Sheet1" sheetId="1" r:id="rId1"/>
    <sheet name="standard resistors" sheetId="2" r:id="rId2"/>
  </sheets>
  <definedNames>
    <definedName name="_R3">Sheet1!$C$19</definedName>
    <definedName name="_R3_1">Sheet1!$O$19</definedName>
    <definedName name="_R4">Sheet1!$C$10</definedName>
    <definedName name="_R4_tol_min">Sheet1!$E$10</definedName>
    <definedName name="_Rg1">Sheet1!$C$16</definedName>
    <definedName name="_Rg1_">Sheet1!$O$16</definedName>
    <definedName name="_Rg1_1">Sheet1!$O$16</definedName>
    <definedName name="_Rg2">Sheet1!$C$17</definedName>
    <definedName name="_Rg2_1">Sheet1!$O$17</definedName>
    <definedName name="Rf">Sheet1!$C$18</definedName>
    <definedName name="Rf_1">Sheet1!$O$18</definedName>
    <definedName name="Rg">Sheet1!$C$11</definedName>
    <definedName name="rtol">Sheet1!$C$9</definedName>
    <definedName name="standard_resistors" localSheetId="1">'standard resistors'!$A$1:$V$16</definedName>
    <definedName name="VFB">Sheet1!$C$2</definedName>
    <definedName name="VFB_tol">Sheet1!$C$3</definedName>
    <definedName name="VFB_tol_min">Sheet1!$E$3</definedName>
    <definedName name="Vmax">Sheet1!$C$5</definedName>
    <definedName name="Vmin">Sheet1!$C$6</definedName>
    <definedName name="Vsup">Sheet1!$C$7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5" i="1" l="1"/>
  <c r="J20" i="1"/>
  <c r="K20" i="1" s="1"/>
  <c r="C20" i="1"/>
  <c r="C15" i="1"/>
  <c r="O15" i="1"/>
  <c r="E3" i="1"/>
  <c r="Q15" i="1" s="1"/>
  <c r="C1" i="2"/>
  <c r="S21" i="2"/>
  <c r="S20" i="2"/>
  <c r="S19" i="2"/>
  <c r="S18" i="2"/>
  <c r="S17" i="2"/>
  <c r="S16" i="2"/>
  <c r="S15" i="2"/>
  <c r="S14" i="2"/>
  <c r="S13" i="2"/>
  <c r="S12" i="2"/>
  <c r="S11" i="2"/>
  <c r="S10" i="2"/>
  <c r="S9" i="2"/>
  <c r="S8" i="2"/>
  <c r="S7" i="2"/>
  <c r="S6" i="2"/>
  <c r="S5" i="2"/>
  <c r="S4" i="2"/>
  <c r="S3" i="2"/>
  <c r="S2" i="2"/>
  <c r="S1" i="2"/>
  <c r="N25" i="2"/>
  <c r="N24" i="2"/>
  <c r="N23" i="2"/>
  <c r="N22" i="2"/>
  <c r="N21" i="2"/>
  <c r="N20" i="2"/>
  <c r="N19" i="2"/>
  <c r="N18" i="2"/>
  <c r="N17" i="2"/>
  <c r="N16" i="2"/>
  <c r="N15" i="2"/>
  <c r="N14" i="2"/>
  <c r="N13" i="2"/>
  <c r="N12" i="2"/>
  <c r="N11" i="2"/>
  <c r="N10" i="2"/>
  <c r="N9" i="2"/>
  <c r="N8" i="2"/>
  <c r="N7" i="2"/>
  <c r="N6" i="2"/>
  <c r="N5" i="2"/>
  <c r="N4" i="2"/>
  <c r="N3" i="2"/>
  <c r="N2" i="2"/>
  <c r="N1" i="2"/>
  <c r="I25" i="2"/>
  <c r="I24" i="2"/>
  <c r="I23" i="2"/>
  <c r="I22" i="2"/>
  <c r="I21" i="2"/>
  <c r="I20" i="2"/>
  <c r="I19" i="2"/>
  <c r="I18" i="2"/>
  <c r="I17" i="2"/>
  <c r="I16" i="2"/>
  <c r="I15" i="2"/>
  <c r="I14" i="2"/>
  <c r="I13" i="2"/>
  <c r="I12" i="2"/>
  <c r="I11" i="2"/>
  <c r="I10" i="2"/>
  <c r="I9" i="2"/>
  <c r="I8" i="2"/>
  <c r="I7" i="2"/>
  <c r="I6" i="2"/>
  <c r="I5" i="2"/>
  <c r="I4" i="2"/>
  <c r="I3" i="2"/>
  <c r="I2" i="2"/>
  <c r="I1" i="2"/>
  <c r="R21" i="2"/>
  <c r="R20" i="2"/>
  <c r="R19" i="2"/>
  <c r="R18" i="2"/>
  <c r="R17" i="2"/>
  <c r="R16" i="2"/>
  <c r="R15" i="2"/>
  <c r="R14" i="2"/>
  <c r="R13" i="2"/>
  <c r="R12" i="2"/>
  <c r="R11" i="2"/>
  <c r="R10" i="2"/>
  <c r="R9" i="2"/>
  <c r="R8" i="2"/>
  <c r="R7" i="2"/>
  <c r="R6" i="2"/>
  <c r="R5" i="2"/>
  <c r="R4" i="2"/>
  <c r="R3" i="2"/>
  <c r="R2" i="2"/>
  <c r="R1" i="2"/>
  <c r="M25" i="2"/>
  <c r="M24" i="2"/>
  <c r="M23" i="2"/>
  <c r="M22" i="2"/>
  <c r="M21" i="2"/>
  <c r="M20" i="2"/>
  <c r="M19" i="2"/>
  <c r="M18" i="2"/>
  <c r="M17" i="2"/>
  <c r="M16" i="2"/>
  <c r="M15" i="2"/>
  <c r="M14" i="2"/>
  <c r="M13" i="2"/>
  <c r="M12" i="2"/>
  <c r="M11" i="2"/>
  <c r="M10" i="2"/>
  <c r="M9" i="2"/>
  <c r="M8" i="2"/>
  <c r="M7" i="2"/>
  <c r="M6" i="2"/>
  <c r="M5" i="2"/>
  <c r="M4" i="2"/>
  <c r="M3" i="2"/>
  <c r="M2" i="2"/>
  <c r="M1" i="2"/>
  <c r="H25" i="2"/>
  <c r="H24" i="2"/>
  <c r="H23" i="2"/>
  <c r="H22" i="2"/>
  <c r="H21" i="2"/>
  <c r="H20" i="2"/>
  <c r="H19" i="2"/>
  <c r="H18" i="2"/>
  <c r="H17" i="2"/>
  <c r="H16" i="2"/>
  <c r="H15" i="2"/>
  <c r="H14" i="2"/>
  <c r="H13" i="2"/>
  <c r="H12" i="2"/>
  <c r="H11" i="2"/>
  <c r="H10" i="2"/>
  <c r="H9" i="2"/>
  <c r="H8" i="2"/>
  <c r="H7" i="2"/>
  <c r="H6" i="2"/>
  <c r="H5" i="2"/>
  <c r="H4" i="2"/>
  <c r="H3" i="2"/>
  <c r="H2" i="2"/>
  <c r="H1" i="2"/>
  <c r="D2" i="2"/>
  <c r="D3" i="2"/>
  <c r="D4" i="2"/>
  <c r="D5" i="2"/>
  <c r="D6" i="2"/>
  <c r="D7" i="2"/>
  <c r="D8" i="2"/>
  <c r="D9" i="2"/>
  <c r="D10" i="2"/>
  <c r="D11" i="2"/>
  <c r="D12" i="2"/>
  <c r="D13" i="2"/>
  <c r="D14" i="2"/>
  <c r="D15" i="2"/>
  <c r="D16" i="2"/>
  <c r="D17" i="2"/>
  <c r="D18" i="2"/>
  <c r="D19" i="2"/>
  <c r="D20" i="2"/>
  <c r="D21" i="2"/>
  <c r="D22" i="2"/>
  <c r="D23" i="2"/>
  <c r="D24" i="2"/>
  <c r="D25" i="2"/>
  <c r="D1" i="2"/>
  <c r="C2" i="2"/>
  <c r="C3" i="2"/>
  <c r="C4" i="2"/>
  <c r="C5" i="2"/>
  <c r="C6" i="2"/>
  <c r="C7" i="2"/>
  <c r="C8" i="2"/>
  <c r="C9" i="2"/>
  <c r="C10" i="2"/>
  <c r="C11" i="2"/>
  <c r="C12" i="2"/>
  <c r="C13" i="2"/>
  <c r="C14" i="2"/>
  <c r="C15" i="2"/>
  <c r="C16" i="2"/>
  <c r="C17" i="2"/>
  <c r="C18" i="2"/>
  <c r="C19" i="2"/>
  <c r="C20" i="2"/>
  <c r="C21" i="2"/>
  <c r="C22" i="2"/>
  <c r="C23" i="2"/>
  <c r="C24" i="2"/>
  <c r="C25" i="2"/>
  <c r="Q2" i="2"/>
  <c r="Q3" i="2" s="1"/>
  <c r="Q4" i="2" s="1"/>
  <c r="Q5" i="2" s="1"/>
  <c r="Q6" i="2" s="1"/>
  <c r="Q7" i="2" s="1"/>
  <c r="Q8" i="2" s="1"/>
  <c r="Q9" i="2" s="1"/>
  <c r="Q10" i="2" s="1"/>
  <c r="Q11" i="2" s="1"/>
  <c r="Q12" i="2" s="1"/>
  <c r="Q13" i="2" s="1"/>
  <c r="Q14" i="2" s="1"/>
  <c r="Q15" i="2" s="1"/>
  <c r="Q16" i="2" s="1"/>
  <c r="Q17" i="2" s="1"/>
  <c r="Q18" i="2" s="1"/>
  <c r="Q19" i="2" s="1"/>
  <c r="Q20" i="2" s="1"/>
  <c r="Q21" i="2" s="1"/>
  <c r="L3" i="2"/>
  <c r="L4" i="2" s="1"/>
  <c r="L5" i="2" s="1"/>
  <c r="L6" i="2" s="1"/>
  <c r="L7" i="2" s="1"/>
  <c r="L8" i="2" s="1"/>
  <c r="L9" i="2" s="1"/>
  <c r="L10" i="2" s="1"/>
  <c r="L11" i="2" s="1"/>
  <c r="L12" i="2" s="1"/>
  <c r="L13" i="2" s="1"/>
  <c r="L14" i="2" s="1"/>
  <c r="L15" i="2" s="1"/>
  <c r="L16" i="2" s="1"/>
  <c r="L17" i="2" s="1"/>
  <c r="L18" i="2" s="1"/>
  <c r="L19" i="2" s="1"/>
  <c r="L20" i="2" s="1"/>
  <c r="L21" i="2" s="1"/>
  <c r="L22" i="2" s="1"/>
  <c r="L23" i="2" s="1"/>
  <c r="L24" i="2" s="1"/>
  <c r="L25" i="2" s="1"/>
  <c r="L2" i="2"/>
  <c r="G3" i="2"/>
  <c r="G4" i="2" s="1"/>
  <c r="G5" i="2" s="1"/>
  <c r="G6" i="2" s="1"/>
  <c r="G7" i="2" s="1"/>
  <c r="G8" i="2" s="1"/>
  <c r="G9" i="2" s="1"/>
  <c r="G10" i="2" s="1"/>
  <c r="G11" i="2" s="1"/>
  <c r="G12" i="2" s="1"/>
  <c r="G13" i="2" s="1"/>
  <c r="G14" i="2" s="1"/>
  <c r="G15" i="2" s="1"/>
  <c r="G16" i="2" s="1"/>
  <c r="G17" i="2" s="1"/>
  <c r="G18" i="2" s="1"/>
  <c r="G19" i="2" s="1"/>
  <c r="G20" i="2" s="1"/>
  <c r="G21" i="2" s="1"/>
  <c r="G22" i="2" s="1"/>
  <c r="G23" i="2" s="1"/>
  <c r="G24" i="2" s="1"/>
  <c r="G25" i="2" s="1"/>
  <c r="G2" i="2"/>
  <c r="B3" i="2"/>
  <c r="B4" i="2"/>
  <c r="B5" i="2" s="1"/>
  <c r="B6" i="2" s="1"/>
  <c r="B7" i="2" s="1"/>
  <c r="B8" i="2" s="1"/>
  <c r="B9" i="2" s="1"/>
  <c r="B10" i="2" s="1"/>
  <c r="B11" i="2" s="1"/>
  <c r="B12" i="2" s="1"/>
  <c r="B13" i="2" s="1"/>
  <c r="B14" i="2" s="1"/>
  <c r="B15" i="2" s="1"/>
  <c r="B16" i="2" s="1"/>
  <c r="B17" i="2" s="1"/>
  <c r="B18" i="2" s="1"/>
  <c r="B19" i="2" s="1"/>
  <c r="B20" i="2" s="1"/>
  <c r="B21" i="2" s="1"/>
  <c r="B22" i="2" s="1"/>
  <c r="B23" i="2" s="1"/>
  <c r="B24" i="2" s="1"/>
  <c r="B25" i="2" s="1"/>
  <c r="B2" i="2"/>
  <c r="C19" i="1"/>
  <c r="J19" i="1" s="1"/>
  <c r="K19" i="1" s="1"/>
  <c r="M19" i="1" s="1"/>
  <c r="C18" i="1"/>
  <c r="J18" i="1" s="1"/>
  <c r="K18" i="1" s="1"/>
  <c r="L18" i="1" s="1"/>
  <c r="N18" i="1" s="1"/>
  <c r="S17" i="1"/>
  <c r="S20" i="1"/>
  <c r="S16" i="1"/>
  <c r="E18" i="1"/>
  <c r="S18" i="1"/>
  <c r="S19" i="1"/>
  <c r="Q23" i="1"/>
  <c r="E16" i="1"/>
  <c r="E17" i="1"/>
  <c r="E19" i="1"/>
  <c r="M20" i="1" l="1"/>
  <c r="L20" i="1"/>
  <c r="N20" i="1" s="1"/>
  <c r="O20" i="1" s="1"/>
  <c r="Q20" i="1" s="1"/>
  <c r="C17" i="1"/>
  <c r="M18" i="1"/>
  <c r="O18" i="1" s="1"/>
  <c r="Q18" i="1" s="1"/>
  <c r="L19" i="1"/>
  <c r="N19" i="1" s="1"/>
  <c r="O19" i="1" s="1"/>
  <c r="Y19" i="1" l="1"/>
  <c r="Q19" i="1"/>
  <c r="Y18" i="1"/>
  <c r="Y20" i="1"/>
  <c r="C16" i="1"/>
  <c r="J16" i="1" s="1"/>
  <c r="K16" i="1" s="1"/>
  <c r="J17" i="1"/>
  <c r="K17" i="1" s="1"/>
  <c r="M16" i="1" l="1"/>
  <c r="L16" i="1"/>
  <c r="N16" i="1" s="1"/>
  <c r="M17" i="1"/>
  <c r="L17" i="1"/>
  <c r="N17" i="1" s="1"/>
  <c r="O16" i="1" l="1"/>
  <c r="Q16" i="1" s="1"/>
  <c r="O17" i="1"/>
  <c r="Q17" i="1" s="1"/>
  <c r="O32" i="1" l="1"/>
  <c r="O31" i="1"/>
  <c r="Y17" i="1"/>
  <c r="Y16" i="1"/>
  <c r="O25" i="1" l="1"/>
  <c r="J27" i="1" s="1"/>
  <c r="K27" i="1" s="1"/>
  <c r="O23" i="1"/>
  <c r="M27" i="1" l="1"/>
  <c r="L27" i="1"/>
  <c r="N27" i="1" s="1"/>
  <c r="O27" i="1" l="1"/>
  <c r="Y27" i="1" s="1"/>
  <c r="O34" i="1" s="1"/>
  <c r="O3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Christopher Paul</author>
  </authors>
  <commentList>
    <comment ref="O23" authorId="0" shapeId="0" xr:uid="{6F949D4B-CFB4-484C-86C0-B968BD9C6E54}">
      <text>
        <r>
          <rPr>
            <sz val="9"/>
            <color indexed="81"/>
            <rFont val="Tahoma"/>
            <family val="2"/>
          </rPr>
          <t>Considering resistor and VFB tolerances, 
this is the smallest regulator output voltage.
If the background is red, it's less than Vmin. 
Place the following resistor R4a in series with R4.</t>
        </r>
      </text>
    </comment>
    <comment ref="J27" authorId="0" shapeId="0" xr:uid="{9CFB6766-D45C-4464-806C-429048C9F557}">
      <text>
        <r>
          <rPr>
            <sz val="9"/>
            <color indexed="81"/>
            <rFont val="Tahoma"/>
            <family val="2"/>
          </rPr>
          <t xml:space="preserve">The argument is multiplied by 1.01 to accommodate the 1% tolerance of the added resistor.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150A01-A858-451E-BF07-482AC72DE11B}" name="standard resistors" type="6" refreshedVersion="8" background="1" saveData="1">
    <textPr codePage="437" sourceFile="C:\Users\chris\Downloads\standard resistors.txt" delimited="0">
      <textFields count="6">
        <textField/>
        <textField position="4"/>
        <textField position="9"/>
        <textField position="14"/>
        <textField position="19"/>
        <textField position="24"/>
      </textFields>
    </textPr>
  </connection>
</connections>
</file>

<file path=xl/sharedStrings.xml><?xml version="1.0" encoding="utf-8"?>
<sst xmlns="http://schemas.openxmlformats.org/spreadsheetml/2006/main" count="38" uniqueCount="37">
  <si>
    <t>VFB</t>
  </si>
  <si>
    <t>Vmax</t>
  </si>
  <si>
    <t>Vsup</t>
  </si>
  <si>
    <t>R4</t>
  </si>
  <si>
    <t>_R4</t>
  </si>
  <si>
    <t>rtol</t>
  </si>
  <si>
    <t>Vmin</t>
  </si>
  <si>
    <t>Rg</t>
  </si>
  <si>
    <t>VFB_tol, %</t>
  </si>
  <si>
    <t>= VFB_tol_min, the minimum toleranced value of VFB</t>
  </si>
  <si>
    <t>Nearest 0.1% resistor value:</t>
  </si>
  <si>
    <t>_Rg1</t>
  </si>
  <si>
    <t>_Rg2</t>
  </si>
  <si>
    <t>_R3</t>
  </si>
  <si>
    <t>Ideal values:</t>
  </si>
  <si>
    <t>calculated value of resistor to add.</t>
  </si>
  <si>
    <t>Reference Figure 1 and text of 
https://www.edn.com/gold-plated-pwm-control-of-linear-and-switching-regulators</t>
  </si>
  <si>
    <t>regulator nominal feedback voltage</t>
  </si>
  <si>
    <t>desired regulator maximum output voltage</t>
  </si>
  <si>
    <t>desired regulator minimum output voltage</t>
  </si>
  <si>
    <t>desired output voltage of U2a</t>
  </si>
  <si>
    <t>&lt;-  maximum output voltage, PWM inputs at max. duty cycle</t>
  </si>
  <si>
    <t>&lt;-  minimum output voltage, PWM inputs at max. duty cycle</t>
  </si>
  <si>
    <t>&lt;-  maximum output voltage, PWM inputs at min. duty cycle</t>
  </si>
  <si>
    <t>&lt;-  minimum output voltage, PWM inputs at min. duty cycle</t>
  </si>
  <si>
    <t>toleranced values which minimize Vmin:</t>
  </si>
  <si>
    <t xml:space="preserve">toleranced values </t>
  </si>
  <si>
    <t xml:space="preserve">which </t>
  </si>
  <si>
    <t>maximize Vmin:</t>
  </si>
  <si>
    <t>parallel combination of Rg1 and Rg2, often appears as a single resistor with a suggested value in the regulator's datasheet</t>
  </si>
  <si>
    <t xml:space="preserve">  cell B1 value</t>
  </si>
  <si>
    <t xml:space="preserve">  cell B9 value</t>
  </si>
  <si>
    <t xml:space="preserve">  Rf</t>
  </si>
  <si>
    <t>resistors' tolerance</t>
  </si>
  <si>
    <r>
      <rPr>
        <b/>
        <sz val="11"/>
        <color theme="1"/>
        <rFont val="Calibri"/>
        <family val="2"/>
        <scheme val="minor"/>
      </rPr>
      <t>R4a.</t>
    </r>
    <r>
      <rPr>
        <sz val="11"/>
        <color theme="1"/>
        <rFont val="Calibri"/>
        <family val="2"/>
        <scheme val="minor"/>
      </rPr>
      <t xml:space="preserve">    Add this 1% resistor in series with R4.</t>
    </r>
  </si>
  <si>
    <t>This spreadsheet considers the tolerances of resistors and the regulator reference voltage in calculating the standard resistor values required to ensure that the output voltage cannot be less than the specified value of Vmin.
The user must enter all values in spreadsheet cells with a yellow background. 
Green background cells contain the standard resistor values calculated by the spreadsheet for use in the circuit. 
Cells with light blue backgrounds list extreme values for the ranges of maximum and minimum output voltages in circuits using the calulated values of resistors. 
Other cells with numerical values are intermediate spreadsheet calculations. Some columns containing calculations are hidden, but can be exposed by the user if desired.</t>
  </si>
  <si>
    <t>With R4a added, the extremes of output voltages are given below. ( R4a doesn't affect voltage maxima.)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</si>
</sst>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
  </numFmts>
  <fonts count="5" x14ac:knownFonts="1">
    <font>
      <sz val="11"/>
      <color theme="1"/>
      <name val="Calibri"/>
      <family val="2"/>
      <scheme val="minor"/>
    </font>
    <font>
      <sz val="9"/>
      <color indexed="81"/>
      <name val="Tahoma"/>
      <family val="2"/>
    </font>
    <font>
      <sz val="11"/>
      <name val="Calibri"/>
      <family val="2"/>
      <scheme val="minor"/>
    </font>
    <font>
      <sz val="18"/>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2"/>
        <bgColor indexed="64"/>
      </patternFill>
    </fill>
    <fill>
      <patternFill patternType="solid">
        <fgColor theme="8" tint="0.79998168889431442"/>
        <bgColor indexed="64"/>
      </patternFill>
    </fill>
    <fill>
      <patternFill patternType="solid">
        <fgColor theme="7"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3">
    <xf numFmtId="0" fontId="0" fillId="0" borderId="0" xfId="0"/>
    <xf numFmtId="0" fontId="0" fillId="0" borderId="0" xfId="0" applyAlignment="1">
      <alignment horizontal="center"/>
    </xf>
    <xf numFmtId="164" fontId="0" fillId="0" borderId="0" xfId="0" applyNumberFormat="1" applyAlignment="1">
      <alignment horizontal="center"/>
    </xf>
    <xf numFmtId="2" fontId="0" fillId="0" borderId="0" xfId="0" applyNumberFormat="1"/>
    <xf numFmtId="164" fontId="0" fillId="0" borderId="0" xfId="0" applyNumberFormat="1"/>
    <xf numFmtId="165" fontId="0" fillId="0" borderId="0" xfId="0" applyNumberFormat="1" applyAlignment="1">
      <alignment horizontal="center"/>
    </xf>
    <xf numFmtId="0" fontId="0" fillId="2" borderId="1" xfId="0" applyFill="1" applyBorder="1" applyAlignment="1">
      <alignment horizontal="center"/>
    </xf>
    <xf numFmtId="10" fontId="0" fillId="2" borderId="1" xfId="0" applyNumberFormat="1" applyFill="1" applyBorder="1" applyAlignment="1">
      <alignment horizontal="center"/>
    </xf>
    <xf numFmtId="0" fontId="0" fillId="0" borderId="0" xfId="0" quotePrefix="1"/>
    <xf numFmtId="0" fontId="0" fillId="3" borderId="0" xfId="0" applyFill="1" applyAlignment="1">
      <alignment horizontal="center"/>
    </xf>
    <xf numFmtId="0" fontId="0" fillId="3" borderId="1" xfId="0" applyFill="1" applyBorder="1" applyAlignment="1">
      <alignment horizontal="center"/>
    </xf>
    <xf numFmtId="0" fontId="2" fillId="3" borderId="0" xfId="0" applyFont="1" applyFill="1" applyAlignment="1">
      <alignment horizontal="center"/>
    </xf>
    <xf numFmtId="16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0" fontId="0" fillId="0" borderId="0" xfId="0" quotePrefix="1" applyAlignment="1">
      <alignment horizontal="left"/>
    </xf>
    <xf numFmtId="164" fontId="0" fillId="0" borderId="0" xfId="0" quotePrefix="1" applyNumberFormat="1" applyAlignment="1">
      <alignment horizontal="left"/>
    </xf>
    <xf numFmtId="0" fontId="0" fillId="0" borderId="0" xfId="0" applyAlignment="1">
      <alignment horizontal="center" vertical="center" wrapText="1"/>
    </xf>
    <xf numFmtId="164" fontId="0" fillId="0" borderId="0" xfId="0" quotePrefix="1" applyNumberFormat="1" applyAlignment="1">
      <alignment horizontal="left" indent="1"/>
    </xf>
    <xf numFmtId="0" fontId="0" fillId="0" borderId="0" xfId="0" quotePrefix="1" applyAlignment="1">
      <alignment horizontal="left" indent="1"/>
    </xf>
    <xf numFmtId="1" fontId="0" fillId="0" borderId="0" xfId="0" applyNumberFormat="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165" fontId="0" fillId="5" borderId="1" xfId="0" applyNumberFormat="1" applyFill="1" applyBorder="1" applyAlignment="1">
      <alignment horizont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0" xfId="0" applyFill="1" applyBorder="1" applyAlignment="1">
      <alignment horizontal="center" vertical="center" wrapText="1"/>
    </xf>
    <xf numFmtId="0" fontId="0" fillId="4" borderId="4" xfId="0"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7" xfId="0" applyFill="1" applyBorder="1" applyAlignment="1">
      <alignment horizontal="center" vertical="center" wrapText="1"/>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0"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cellXfs>
  <cellStyles count="1">
    <cellStyle name="Normal" xfId="0" builtinId="0"/>
  </cellStyles>
  <dxfs count="1">
    <dxf>
      <font>
        <strike/>
      </font>
      <fill>
        <patternFill>
          <bgColor rgb="FFFF0000"/>
        </patternFill>
      </fill>
    </dxf>
  </dxfs>
  <tableStyles count="1" defaultTableStyle="TableStyleMedium2" defaultPivotStyle="PivotStyleLight16">
    <tableStyle name="Invisible" pivot="0" table="0" count="0" xr9:uid="{E65939BA-CBB8-4215-A1D3-1D60624B028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tandard resistors" connectionId="1" xr16:uid="{203A27EF-2F5B-4CA8-B5A6-B629D861B417}"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E49DF-27A4-4D73-989A-4E70B2B0B955}">
  <dimension ref="B1:Y37"/>
  <sheetViews>
    <sheetView tabSelected="1" zoomScaleNormal="100" workbookViewId="0">
      <selection activeCell="Q41" sqref="Q41"/>
    </sheetView>
  </sheetViews>
  <sheetFormatPr defaultRowHeight="15" x14ac:dyDescent="0.25"/>
  <cols>
    <col min="1" max="1" width="2.140625" customWidth="1"/>
    <col min="2" max="2" width="11.28515625" bestFit="1" customWidth="1"/>
    <col min="3" max="3" width="14.42578125" style="1" customWidth="1"/>
    <col min="4" max="4" width="4" customWidth="1"/>
    <col min="5" max="5" width="10.7109375" style="12" customWidth="1"/>
    <col min="8" max="8" width="10.140625" customWidth="1"/>
    <col min="9" max="9" width="3.140625" customWidth="1"/>
    <col min="10" max="10" width="13" style="3" hidden="1" customWidth="1"/>
    <col min="11" max="13" width="9.140625" hidden="1" customWidth="1"/>
    <col min="14" max="14" width="12" hidden="1" customWidth="1"/>
    <col min="15" max="15" width="32.85546875" style="1" customWidth="1"/>
    <col min="16" max="16" width="3.7109375" customWidth="1"/>
    <col min="17" max="17" width="61.140625" style="1" customWidth="1"/>
    <col min="18" max="18" width="3.28515625" customWidth="1"/>
    <col min="19" max="19" width="18" style="14" customWidth="1"/>
    <col min="20" max="23" width="12.7109375" customWidth="1"/>
    <col min="24" max="24" width="3.5703125" customWidth="1"/>
    <col min="25" max="25" width="18.42578125" style="1" customWidth="1"/>
  </cols>
  <sheetData>
    <row r="1" spans="2:25" ht="9.75" customHeight="1" thickBot="1" x14ac:dyDescent="0.3"/>
    <row r="2" spans="2:25" ht="15" customHeight="1" x14ac:dyDescent="0.25">
      <c r="B2" t="s">
        <v>0</v>
      </c>
      <c r="C2" s="6">
        <v>0.6</v>
      </c>
      <c r="E2" s="12" t="s">
        <v>17</v>
      </c>
      <c r="Q2" s="34" t="s">
        <v>16</v>
      </c>
      <c r="R2" s="35"/>
      <c r="S2" s="35"/>
      <c r="T2" s="35"/>
      <c r="U2" s="35"/>
      <c r="V2" s="35"/>
      <c r="W2" s="36"/>
    </row>
    <row r="3" spans="2:25" ht="15" customHeight="1" x14ac:dyDescent="0.25">
      <c r="B3" t="s">
        <v>8</v>
      </c>
      <c r="C3" s="7">
        <v>5.0000000000000001E-3</v>
      </c>
      <c r="E3" s="5">
        <f>VFB*(1-VFB_tol)</f>
        <v>0.59699999999999998</v>
      </c>
      <c r="F3" s="8" t="s">
        <v>9</v>
      </c>
      <c r="Q3" s="37"/>
      <c r="R3" s="38"/>
      <c r="S3" s="38"/>
      <c r="T3" s="38"/>
      <c r="U3" s="38"/>
      <c r="V3" s="38"/>
      <c r="W3" s="39"/>
      <c r="X3" s="1"/>
    </row>
    <row r="4" spans="2:25" ht="15" customHeight="1" x14ac:dyDescent="0.25">
      <c r="Q4" s="37"/>
      <c r="R4" s="38"/>
      <c r="S4" s="38"/>
      <c r="T4" s="38"/>
      <c r="U4" s="38"/>
      <c r="V4" s="38"/>
      <c r="W4" s="39"/>
      <c r="X4" s="1"/>
    </row>
    <row r="5" spans="2:25" ht="15" customHeight="1" thickBot="1" x14ac:dyDescent="0.3">
      <c r="B5" t="s">
        <v>1</v>
      </c>
      <c r="C5" s="6">
        <v>5</v>
      </c>
      <c r="E5" s="12" t="s">
        <v>18</v>
      </c>
      <c r="Q5" s="40"/>
      <c r="R5" s="41"/>
      <c r="S5" s="41"/>
      <c r="T5" s="41"/>
      <c r="U5" s="41"/>
      <c r="V5" s="41"/>
      <c r="W5" s="42"/>
      <c r="X5" s="1"/>
    </row>
    <row r="6" spans="2:25" ht="15.75" customHeight="1" x14ac:dyDescent="0.25">
      <c r="B6" t="s">
        <v>6</v>
      </c>
      <c r="C6" s="6">
        <v>0.16</v>
      </c>
      <c r="E6" s="12" t="s">
        <v>19</v>
      </c>
      <c r="X6" s="1"/>
    </row>
    <row r="7" spans="2:25" x14ac:dyDescent="0.25">
      <c r="B7" t="s">
        <v>2</v>
      </c>
      <c r="C7" s="6">
        <v>3</v>
      </c>
      <c r="E7" s="12" t="s">
        <v>20</v>
      </c>
    </row>
    <row r="8" spans="2:25" ht="15.75" thickBot="1" x14ac:dyDescent="0.3"/>
    <row r="9" spans="2:25" ht="15" customHeight="1" x14ac:dyDescent="0.25">
      <c r="B9" t="s">
        <v>5</v>
      </c>
      <c r="C9" s="7">
        <v>1E-3</v>
      </c>
      <c r="E9" s="12" t="s">
        <v>33</v>
      </c>
      <c r="T9" s="25" t="s">
        <v>35</v>
      </c>
      <c r="U9" s="26"/>
      <c r="V9" s="26"/>
      <c r="W9" s="28"/>
      <c r="X9" s="17"/>
    </row>
    <row r="10" spans="2:25" x14ac:dyDescent="0.25">
      <c r="B10" t="s">
        <v>3</v>
      </c>
      <c r="C10" s="6">
        <v>10000</v>
      </c>
      <c r="E10" s="16"/>
      <c r="F10" s="8"/>
      <c r="T10" s="29"/>
      <c r="U10" s="27"/>
      <c r="V10" s="27"/>
      <c r="W10" s="30"/>
      <c r="X10" s="17"/>
    </row>
    <row r="11" spans="2:25" x14ac:dyDescent="0.25">
      <c r="B11" t="s">
        <v>7</v>
      </c>
      <c r="C11" s="6">
        <v>10000</v>
      </c>
      <c r="E11" s="16" t="s">
        <v>29</v>
      </c>
      <c r="T11" s="29"/>
      <c r="U11" s="27"/>
      <c r="V11" s="27"/>
      <c r="W11" s="30"/>
      <c r="X11" s="17"/>
      <c r="Y11" s="1" t="s">
        <v>26</v>
      </c>
    </row>
    <row r="12" spans="2:25" x14ac:dyDescent="0.25">
      <c r="T12" s="29"/>
      <c r="U12" s="27"/>
      <c r="V12" s="27"/>
      <c r="W12" s="30"/>
      <c r="X12" s="17"/>
      <c r="Y12" s="1" t="s">
        <v>27</v>
      </c>
    </row>
    <row r="13" spans="2:25" x14ac:dyDescent="0.25">
      <c r="C13" s="1" t="s">
        <v>14</v>
      </c>
      <c r="O13" s="1" t="s">
        <v>10</v>
      </c>
      <c r="Q13" s="1" t="s">
        <v>25</v>
      </c>
      <c r="T13" s="29"/>
      <c r="U13" s="27"/>
      <c r="V13" s="27"/>
      <c r="W13" s="30"/>
      <c r="X13" s="17"/>
      <c r="Y13" s="1" t="s">
        <v>28</v>
      </c>
    </row>
    <row r="14" spans="2:25" x14ac:dyDescent="0.25">
      <c r="T14" s="29"/>
      <c r="U14" s="27"/>
      <c r="V14" s="27"/>
      <c r="W14" s="30"/>
      <c r="X14" s="17"/>
    </row>
    <row r="15" spans="2:25" x14ac:dyDescent="0.25">
      <c r="B15" t="s">
        <v>0</v>
      </c>
      <c r="C15" s="1">
        <f>VFB</f>
        <v>0.6</v>
      </c>
      <c r="E15" s="18" t="s">
        <v>30</v>
      </c>
      <c r="O15" s="1">
        <f>VFB</f>
        <v>0.6</v>
      </c>
      <c r="Q15" s="1">
        <f>VFB_tol_min</f>
        <v>0.59699999999999998</v>
      </c>
      <c r="T15" s="29"/>
      <c r="U15" s="27"/>
      <c r="V15" s="27"/>
      <c r="W15" s="30"/>
      <c r="X15" s="17"/>
      <c r="Y15" s="1">
        <f>VFB*(1+VFB_tol)</f>
        <v>0.60299999999999987</v>
      </c>
    </row>
    <row r="16" spans="2:25" x14ac:dyDescent="0.25">
      <c r="B16" t="s">
        <v>11</v>
      </c>
      <c r="C16" s="2">
        <f>1/(1/Rg-1/_Rg2)</f>
        <v>12820.51282051282</v>
      </c>
      <c r="E16" s="14" t="str">
        <f ca="1">_xlfn.FORMULATEXT(C16)</f>
        <v>=1/(1/Rg-1/_Rg2)</v>
      </c>
      <c r="J16" s="3">
        <f>96*LOG(_Rg1)</f>
        <v>394.35891814171384</v>
      </c>
      <c r="K16">
        <f>ROUND(J16,0)</f>
        <v>394</v>
      </c>
      <c r="L16">
        <f>MOD(K16,96)</f>
        <v>10</v>
      </c>
      <c r="M16">
        <f>FLOOR(K16/96,1)</f>
        <v>4</v>
      </c>
      <c r="N16">
        <f>10^(L16/96)</f>
        <v>1.2710617996147449</v>
      </c>
      <c r="O16" s="10">
        <f>ROUND(N16,2)*(10^M16)</f>
        <v>12700</v>
      </c>
      <c r="Q16" s="20">
        <f>_Rg1_*(1+rtol)</f>
        <v>12712.699999999999</v>
      </c>
      <c r="R16" s="1"/>
      <c r="S16" s="14" t="str">
        <f ca="1">_xlfn.FORMULATEXT(Q16)</f>
        <v>=_Rg1_*(1+rtol)</v>
      </c>
      <c r="T16" s="29"/>
      <c r="U16" s="27"/>
      <c r="V16" s="27"/>
      <c r="W16" s="30"/>
      <c r="X16" s="17"/>
      <c r="Y16" s="20">
        <f>(1-rtol)*_Rg1_</f>
        <v>12687.3</v>
      </c>
    </row>
    <row r="17" spans="2:25" x14ac:dyDescent="0.25">
      <c r="B17" t="s">
        <v>12</v>
      </c>
      <c r="C17" s="2">
        <f>(1+_R3/_R4)/(1/Rg-(Vmin/VFB-1)/Rf)</f>
        <v>45454.545454545456</v>
      </c>
      <c r="E17" s="14" t="str">
        <f ca="1">_xlfn.FORMULATEXT(C17)</f>
        <v>=(1+_R3/_R4)/(1/Rg-(Vmin/VFB-1)/Rf)</v>
      </c>
      <c r="J17" s="3">
        <f>96*LOG(_Rg2)</f>
        <v>447.12742264106816</v>
      </c>
      <c r="K17">
        <f t="shared" ref="K17:K20" si="0">ROUND(J17,0)</f>
        <v>447</v>
      </c>
      <c r="L17">
        <f t="shared" ref="L17:L20" si="1">MOD(K17,96)</f>
        <v>63</v>
      </c>
      <c r="M17">
        <f t="shared" ref="M17:M19" si="2">FLOOR(K17/96,1)</f>
        <v>4</v>
      </c>
      <c r="N17">
        <f t="shared" ref="N17:N19" si="3">10^(L17/96)</f>
        <v>4.5315836376008187</v>
      </c>
      <c r="O17" s="10">
        <f t="shared" ref="O17:O18" si="4">ROUND(N17,2)*(10^M17)</f>
        <v>45300</v>
      </c>
      <c r="Q17" s="20">
        <f>_Rg2_1*(1-rtol)</f>
        <v>45254.7</v>
      </c>
      <c r="S17" s="14" t="str">
        <f t="shared" ref="S17:S20" ca="1" si="5">_xlfn.FORMULATEXT(Q17)</f>
        <v>=_Rg2_1*(1-rtol)</v>
      </c>
      <c r="T17" s="29"/>
      <c r="U17" s="27"/>
      <c r="V17" s="27"/>
      <c r="W17" s="30"/>
      <c r="X17" s="17"/>
      <c r="Y17" s="20">
        <f>(1+rtol)*O17</f>
        <v>45345.299999999996</v>
      </c>
    </row>
    <row r="18" spans="2:25" x14ac:dyDescent="0.25">
      <c r="B18" s="8" t="s">
        <v>32</v>
      </c>
      <c r="C18" s="2">
        <f>Rg*(Vmax/VFB-1)</f>
        <v>73333.333333333343</v>
      </c>
      <c r="E18" s="14" t="str">
        <f ca="1">_xlfn.FORMULATEXT(C18)</f>
        <v>=Rg*(Vmax/VFB-1)</v>
      </c>
      <c r="J18" s="3">
        <f>96*LOG(Rf)</f>
        <v>467.06893690584423</v>
      </c>
      <c r="K18">
        <f t="shared" si="0"/>
        <v>467</v>
      </c>
      <c r="L18">
        <f t="shared" si="1"/>
        <v>83</v>
      </c>
      <c r="M18">
        <f t="shared" si="2"/>
        <v>4</v>
      </c>
      <c r="N18">
        <f t="shared" si="3"/>
        <v>7.3212179078291308</v>
      </c>
      <c r="O18" s="10">
        <f t="shared" si="4"/>
        <v>73200</v>
      </c>
      <c r="Q18" s="20">
        <f xml:space="preserve">  Rf_1*(1+rtol)</f>
        <v>73273.2</v>
      </c>
      <c r="S18" s="14" t="str">
        <f t="shared" ca="1" si="5"/>
        <v>=  Rf_1*(1+rtol)</v>
      </c>
      <c r="T18" s="29"/>
      <c r="U18" s="27"/>
      <c r="V18" s="27"/>
      <c r="W18" s="30"/>
      <c r="X18" s="17"/>
      <c r="Y18" s="20">
        <f>(1-rtol)*Rf_1</f>
        <v>73126.8</v>
      </c>
    </row>
    <row r="19" spans="2:25" x14ac:dyDescent="0.25">
      <c r="B19" t="s">
        <v>13</v>
      </c>
      <c r="C19" s="2">
        <f>_R4*(Vsup/VFB-1)</f>
        <v>40000</v>
      </c>
      <c r="E19" s="14" t="str">
        <f ca="1">_xlfn.FORMULATEXT(C19)</f>
        <v>=_R4*(Vsup/VFB-1)</v>
      </c>
      <c r="J19" s="3">
        <f>96*LOG(_R3)</f>
        <v>441.7977591674844</v>
      </c>
      <c r="K19">
        <f t="shared" si="0"/>
        <v>442</v>
      </c>
      <c r="L19">
        <f t="shared" si="1"/>
        <v>58</v>
      </c>
      <c r="M19">
        <f t="shared" si="2"/>
        <v>4</v>
      </c>
      <c r="N19">
        <f t="shared" si="3"/>
        <v>4.0194503336151257</v>
      </c>
      <c r="O19" s="11">
        <f>ROUND(N19,2)*(10^M19)</f>
        <v>40199.999999999993</v>
      </c>
      <c r="Q19" s="20">
        <f>_R3_1*(1+rtol)</f>
        <v>40240.19999999999</v>
      </c>
      <c r="S19" s="14" t="str">
        <f t="shared" ca="1" si="5"/>
        <v>=_R3_1*(1+rtol)</v>
      </c>
      <c r="T19" s="29"/>
      <c r="U19" s="27"/>
      <c r="V19" s="27"/>
      <c r="W19" s="30"/>
      <c r="X19" s="17"/>
      <c r="Y19" s="20">
        <f>(1-rtol)*_R3_1</f>
        <v>40159.799999999996</v>
      </c>
    </row>
    <row r="20" spans="2:25" x14ac:dyDescent="0.25">
      <c r="B20" t="s">
        <v>4</v>
      </c>
      <c r="C20" s="2">
        <f>_R4</f>
        <v>10000</v>
      </c>
      <c r="E20" s="19" t="s">
        <v>31</v>
      </c>
      <c r="J20" s="3">
        <f>96*LOG(_R4)</f>
        <v>384</v>
      </c>
      <c r="K20">
        <f t="shared" si="0"/>
        <v>384</v>
      </c>
      <c r="L20">
        <f t="shared" si="1"/>
        <v>0</v>
      </c>
      <c r="M20">
        <f t="shared" ref="M20" si="6">FLOOR(K20/96,1)</f>
        <v>4</v>
      </c>
      <c r="N20">
        <f t="shared" ref="N20" si="7">10^(L20/96)</f>
        <v>1</v>
      </c>
      <c r="O20" s="10">
        <f>ROUND(N20,2)*(10^M19)</f>
        <v>10000</v>
      </c>
      <c r="Q20" s="20">
        <f xml:space="preserve">  O20*(1-rtol)</f>
        <v>9990</v>
      </c>
      <c r="S20" s="14" t="str">
        <f t="shared" ca="1" si="5"/>
        <v>=  O20*(1-rtol)</v>
      </c>
      <c r="T20" s="29"/>
      <c r="U20" s="27"/>
      <c r="V20" s="27"/>
      <c r="W20" s="30"/>
      <c r="X20" s="17"/>
      <c r="Y20" s="20">
        <f>(1+rtol)*O20</f>
        <v>10009.999999999998</v>
      </c>
    </row>
    <row r="21" spans="2:25" x14ac:dyDescent="0.25">
      <c r="C21" s="2"/>
      <c r="E21" s="1"/>
      <c r="T21" s="29"/>
      <c r="U21" s="27"/>
      <c r="V21" s="27"/>
      <c r="W21" s="30"/>
      <c r="X21" s="17"/>
    </row>
    <row r="22" spans="2:25" x14ac:dyDescent="0.25">
      <c r="T22" s="29"/>
      <c r="U22" s="27"/>
      <c r="V22" s="27"/>
      <c r="W22" s="30"/>
      <c r="X22" s="17"/>
    </row>
    <row r="23" spans="2:25" x14ac:dyDescent="0.25">
      <c r="O23" s="9">
        <f xml:space="preserve"> VFB_tol_min*(1+Q18*(1/Q16 -Q19/(Q17*Q20)))</f>
        <v>0.14438437027536985</v>
      </c>
      <c r="Q23" s="1" t="str">
        <f ca="1">_xlfn.FORMULATEXT(O23)</f>
        <v>= VFB_tol_min*(1+Q18*(1/Q16 -Q19/(Q17*Q20)))</v>
      </c>
      <c r="T23" s="29"/>
      <c r="U23" s="27"/>
      <c r="V23" s="27"/>
      <c r="W23" s="30"/>
      <c r="X23" s="17"/>
    </row>
    <row r="24" spans="2:25" x14ac:dyDescent="0.25">
      <c r="T24" s="29"/>
      <c r="U24" s="27"/>
      <c r="V24" s="27"/>
      <c r="W24" s="30"/>
      <c r="X24" s="17"/>
    </row>
    <row r="25" spans="2:25" x14ac:dyDescent="0.25">
      <c r="O25" s="1">
        <f>1/((1/Q16 - (Vmin/VFB_tol_min -1)/Q18)*Q17/Q19)-Q20</f>
        <v>40.22720247496909</v>
      </c>
      <c r="Q25" s="1" t="s">
        <v>15</v>
      </c>
      <c r="T25" s="29"/>
      <c r="U25" s="27"/>
      <c r="V25" s="27"/>
      <c r="W25" s="30"/>
      <c r="X25" s="17"/>
    </row>
    <row r="26" spans="2:25" x14ac:dyDescent="0.25">
      <c r="T26" s="29"/>
      <c r="U26" s="27"/>
      <c r="V26" s="27"/>
      <c r="W26" s="30"/>
      <c r="X26" s="17"/>
    </row>
    <row r="27" spans="2:25" x14ac:dyDescent="0.25">
      <c r="J27" s="3">
        <f>96*LOG(O25*1.01)</f>
        <v>154.44875570037627</v>
      </c>
      <c r="K27">
        <f t="shared" ref="K27" si="8">ROUND(J27,0)</f>
        <v>154</v>
      </c>
      <c r="L27">
        <f t="shared" ref="L27" si="9">MOD(K27,96)</f>
        <v>58</v>
      </c>
      <c r="M27">
        <f t="shared" ref="M27" si="10">FLOOR(K27/96,1)</f>
        <v>1</v>
      </c>
      <c r="N27">
        <f t="shared" ref="N27" si="11">10^(L27/96)</f>
        <v>4.0194503336151257</v>
      </c>
      <c r="O27" s="11">
        <f>IF(O23&gt;=Vmin,0,ROUND(N27,2)*(10^M27))</f>
        <v>40.199999999999996</v>
      </c>
      <c r="Q27" s="1" t="s">
        <v>34</v>
      </c>
      <c r="T27" s="29"/>
      <c r="U27" s="27"/>
      <c r="V27" s="27"/>
      <c r="W27" s="30"/>
      <c r="X27" s="17"/>
      <c r="Y27" s="1">
        <f>O27</f>
        <v>40.199999999999996</v>
      </c>
    </row>
    <row r="28" spans="2:25" ht="15.75" thickBot="1" x14ac:dyDescent="0.3">
      <c r="T28" s="29"/>
      <c r="U28" s="27"/>
      <c r="V28" s="27"/>
      <c r="W28" s="30"/>
      <c r="X28" s="17"/>
    </row>
    <row r="29" spans="2:25" ht="15.75" thickBot="1" x14ac:dyDescent="0.3">
      <c r="O29" s="21" t="s">
        <v>36</v>
      </c>
      <c r="P29" s="22"/>
      <c r="Q29" s="23"/>
      <c r="T29" s="29"/>
      <c r="U29" s="27"/>
      <c r="V29" s="27"/>
      <c r="W29" s="30"/>
      <c r="X29" s="17"/>
    </row>
    <row r="30" spans="2:25" x14ac:dyDescent="0.25">
      <c r="T30" s="29"/>
      <c r="U30" s="27"/>
      <c r="V30" s="27"/>
      <c r="W30" s="30"/>
    </row>
    <row r="31" spans="2:25" x14ac:dyDescent="0.25">
      <c r="O31" s="24">
        <f>VFB*(1+VFB_tol)*(1 + Rf_1*(1+rtol)*   (  1/(_Rg1_1*(1-rtol))     +    1/(_Rg2_1*(1-rtol))     ))</f>
        <v>5.0618519561956479</v>
      </c>
      <c r="Q31" s="15" t="s">
        <v>21</v>
      </c>
      <c r="T31" s="29"/>
      <c r="U31" s="27"/>
      <c r="V31" s="27"/>
      <c r="W31" s="30"/>
    </row>
    <row r="32" spans="2:25" x14ac:dyDescent="0.25">
      <c r="O32" s="24">
        <f>VFB*(1-VFB_tol)*(1 + Rf_1*(1-rtol)*   (  1/(_Rg1_1*(1+rtol))     +    1/(_Rg2_1*(1+rtol))     ))</f>
        <v>4.9938625919629729</v>
      </c>
      <c r="Q32" s="15" t="s">
        <v>22</v>
      </c>
      <c r="T32" s="29"/>
      <c r="U32" s="27"/>
      <c r="V32" s="27"/>
      <c r="W32" s="30"/>
    </row>
    <row r="33" spans="15:23" x14ac:dyDescent="0.25">
      <c r="O33" s="5"/>
      <c r="Q33" s="13"/>
      <c r="T33" s="29"/>
      <c r="U33" s="27"/>
      <c r="V33" s="27"/>
      <c r="W33" s="30"/>
    </row>
    <row r="34" spans="15:23" x14ac:dyDescent="0.25">
      <c r="O34" s="24">
        <f>Y15*(1+Y18*(1/Y16 -Y19/(Y17*(Y20+Y27))))</f>
        <v>0.1927769949736711</v>
      </c>
      <c r="Q34" s="15" t="s">
        <v>23</v>
      </c>
      <c r="T34" s="29"/>
      <c r="U34" s="27"/>
      <c r="V34" s="27"/>
      <c r="W34" s="30"/>
    </row>
    <row r="35" spans="15:23" ht="15.75" thickBot="1" x14ac:dyDescent="0.3">
      <c r="O35" s="24">
        <f>Q15*(1+Q18*(1/Q16 -Q19/(Q17*(Q20+O27))))</f>
        <v>0.15998948270669067</v>
      </c>
      <c r="Q35" s="15" t="s">
        <v>24</v>
      </c>
      <c r="T35" s="31"/>
      <c r="U35" s="32"/>
      <c r="V35" s="32"/>
      <c r="W35" s="33"/>
    </row>
    <row r="36" spans="15:23" x14ac:dyDescent="0.25">
      <c r="Q36" s="13"/>
    </row>
    <row r="37" spans="15:23" x14ac:dyDescent="0.25">
      <c r="Q37" s="13"/>
    </row>
  </sheetData>
  <mergeCells count="3">
    <mergeCell ref="O29:Q29"/>
    <mergeCell ref="T9:W35"/>
    <mergeCell ref="Q2:W5"/>
  </mergeCells>
  <conditionalFormatting sqref="O23">
    <cfRule type="expression" dxfId="0" priority="1">
      <formula>$O$23&lt;$C$6</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36F7F-F6B7-4559-8056-7497EE36E5B5}">
  <dimension ref="A1:S25"/>
  <sheetViews>
    <sheetView workbookViewId="0">
      <selection activeCell="C2" sqref="C2"/>
    </sheetView>
  </sheetViews>
  <sheetFormatPr defaultRowHeight="15" x14ac:dyDescent="0.25"/>
  <cols>
    <col min="1" max="1" width="5" bestFit="1" customWidth="1"/>
    <col min="2" max="2" width="5" customWidth="1"/>
    <col min="3" max="3" width="5.5703125" style="4" bestFit="1" customWidth="1"/>
    <col min="4" max="5" width="5" customWidth="1"/>
    <col min="6" max="6" width="5" bestFit="1" customWidth="1"/>
    <col min="7" max="7" width="5" customWidth="1"/>
    <col min="8" max="8" width="5" style="4" customWidth="1"/>
    <col min="9" max="10" width="5" customWidth="1"/>
    <col min="11" max="11" width="5" bestFit="1" customWidth="1"/>
    <col min="12" max="12" width="5" customWidth="1"/>
    <col min="13" max="13" width="5" style="4" customWidth="1"/>
    <col min="14" max="15" width="5" customWidth="1"/>
    <col min="16" max="16" width="5" bestFit="1" customWidth="1"/>
    <col min="17" max="17" width="5" customWidth="1"/>
    <col min="18" max="18" width="5" style="4" customWidth="1"/>
    <col min="19" max="19" width="5" bestFit="1" customWidth="1"/>
    <col min="20" max="21" width="5" customWidth="1"/>
    <col min="22" max="22" width="5" bestFit="1" customWidth="1"/>
  </cols>
  <sheetData>
    <row r="1" spans="1:19" x14ac:dyDescent="0.25">
      <c r="A1">
        <v>10</v>
      </c>
      <c r="B1">
        <v>0</v>
      </c>
      <c r="C1" s="4">
        <f>ROUND(10^(1+B1/96),1)</f>
        <v>10</v>
      </c>
      <c r="D1" s="4">
        <f>A1-C1</f>
        <v>0</v>
      </c>
      <c r="F1">
        <v>18.2</v>
      </c>
      <c r="G1">
        <v>25</v>
      </c>
      <c r="H1" s="4">
        <f>ROUND(10^(1+G1/96),1)</f>
        <v>18.2</v>
      </c>
      <c r="I1" s="4">
        <f>F1-H1</f>
        <v>0</v>
      </c>
      <c r="K1">
        <v>33.200000000000003</v>
      </c>
      <c r="L1">
        <v>50</v>
      </c>
      <c r="M1" s="4">
        <f>ROUND(10^(1+L1/96),1)</f>
        <v>33.200000000000003</v>
      </c>
      <c r="N1" s="4">
        <f>K1-M1</f>
        <v>0</v>
      </c>
      <c r="P1">
        <v>60.4</v>
      </c>
      <c r="Q1">
        <v>75</v>
      </c>
      <c r="R1" s="4">
        <f>ROUND(10^(1+Q1/96),1)</f>
        <v>60.4</v>
      </c>
      <c r="S1" s="4">
        <f>P1-R1</f>
        <v>0</v>
      </c>
    </row>
    <row r="2" spans="1:19" x14ac:dyDescent="0.25">
      <c r="A2">
        <v>10.199999999999999</v>
      </c>
      <c r="B2">
        <f>B1+1</f>
        <v>1</v>
      </c>
      <c r="C2" s="4">
        <f t="shared" ref="C2:C25" si="0">ROUND(10^(1+B2/96),1)</f>
        <v>10.199999999999999</v>
      </c>
      <c r="D2" s="4">
        <f t="shared" ref="D2:D25" si="1">A2-C2</f>
        <v>0</v>
      </c>
      <c r="F2">
        <v>18.7</v>
      </c>
      <c r="G2">
        <f>G1+1</f>
        <v>26</v>
      </c>
      <c r="H2" s="4">
        <f t="shared" ref="H2:H25" si="2">ROUND(10^(1+G2/96),1)</f>
        <v>18.7</v>
      </c>
      <c r="I2" s="4">
        <f t="shared" ref="I2:I25" si="3">F2-H2</f>
        <v>0</v>
      </c>
      <c r="K2">
        <v>34</v>
      </c>
      <c r="L2">
        <f>L1+1</f>
        <v>51</v>
      </c>
      <c r="M2" s="4">
        <f t="shared" ref="M2:M25" si="4">ROUND(10^(1+L2/96),1)</f>
        <v>34</v>
      </c>
      <c r="N2" s="4">
        <f t="shared" ref="N2:N25" si="5">K2-M2</f>
        <v>0</v>
      </c>
      <c r="P2">
        <v>61.9</v>
      </c>
      <c r="Q2">
        <f>Q1+1</f>
        <v>76</v>
      </c>
      <c r="R2" s="4">
        <f t="shared" ref="R2:R21" si="6">ROUND(10^(1+Q2/96),1)</f>
        <v>61.9</v>
      </c>
      <c r="S2" s="4">
        <f t="shared" ref="S2:S21" si="7">P2-R2</f>
        <v>0</v>
      </c>
    </row>
    <row r="3" spans="1:19" x14ac:dyDescent="0.25">
      <c r="A3">
        <v>10.5</v>
      </c>
      <c r="B3">
        <f t="shared" ref="B3:B25" si="8">B2+1</f>
        <v>2</v>
      </c>
      <c r="C3" s="4">
        <f t="shared" si="0"/>
        <v>10.5</v>
      </c>
      <c r="D3" s="4">
        <f t="shared" si="1"/>
        <v>0</v>
      </c>
      <c r="F3">
        <v>19.100000000000001</v>
      </c>
      <c r="G3">
        <f t="shared" ref="G3:G25" si="9">G2+1</f>
        <v>27</v>
      </c>
      <c r="H3" s="4">
        <f t="shared" si="2"/>
        <v>19.100000000000001</v>
      </c>
      <c r="I3" s="4">
        <f t="shared" si="3"/>
        <v>0</v>
      </c>
      <c r="K3">
        <v>34.799999999999997</v>
      </c>
      <c r="L3">
        <f t="shared" ref="L3:L25" si="10">L2+1</f>
        <v>52</v>
      </c>
      <c r="M3" s="4">
        <f t="shared" si="4"/>
        <v>34.799999999999997</v>
      </c>
      <c r="N3" s="4">
        <f t="shared" si="5"/>
        <v>0</v>
      </c>
      <c r="P3">
        <v>63.4</v>
      </c>
      <c r="Q3">
        <f t="shared" ref="Q3:Q21" si="11">Q2+1</f>
        <v>77</v>
      </c>
      <c r="R3" s="4">
        <f t="shared" si="6"/>
        <v>63.4</v>
      </c>
      <c r="S3" s="4">
        <f t="shared" si="7"/>
        <v>0</v>
      </c>
    </row>
    <row r="4" spans="1:19" x14ac:dyDescent="0.25">
      <c r="A4">
        <v>10.7</v>
      </c>
      <c r="B4">
        <f t="shared" si="8"/>
        <v>3</v>
      </c>
      <c r="C4" s="4">
        <f t="shared" si="0"/>
        <v>10.7</v>
      </c>
      <c r="D4" s="4">
        <f t="shared" si="1"/>
        <v>0</v>
      </c>
      <c r="F4">
        <v>19.600000000000001</v>
      </c>
      <c r="G4">
        <f t="shared" si="9"/>
        <v>28</v>
      </c>
      <c r="H4" s="4">
        <f t="shared" si="2"/>
        <v>19.600000000000001</v>
      </c>
      <c r="I4" s="4">
        <f t="shared" si="3"/>
        <v>0</v>
      </c>
      <c r="K4">
        <v>35.700000000000003</v>
      </c>
      <c r="L4">
        <f t="shared" si="10"/>
        <v>53</v>
      </c>
      <c r="M4" s="4">
        <f t="shared" si="4"/>
        <v>35.700000000000003</v>
      </c>
      <c r="N4" s="4">
        <f t="shared" si="5"/>
        <v>0</v>
      </c>
      <c r="P4">
        <v>64.900000000000006</v>
      </c>
      <c r="Q4">
        <f t="shared" si="11"/>
        <v>78</v>
      </c>
      <c r="R4" s="4">
        <f t="shared" si="6"/>
        <v>64.900000000000006</v>
      </c>
      <c r="S4" s="4">
        <f t="shared" si="7"/>
        <v>0</v>
      </c>
    </row>
    <row r="5" spans="1:19" x14ac:dyDescent="0.25">
      <c r="A5">
        <v>11</v>
      </c>
      <c r="B5">
        <f t="shared" si="8"/>
        <v>4</v>
      </c>
      <c r="C5" s="4">
        <f t="shared" si="0"/>
        <v>11</v>
      </c>
      <c r="D5" s="4">
        <f t="shared" si="1"/>
        <v>0</v>
      </c>
      <c r="F5">
        <v>20</v>
      </c>
      <c r="G5">
        <f t="shared" si="9"/>
        <v>29</v>
      </c>
      <c r="H5" s="4">
        <f t="shared" si="2"/>
        <v>20</v>
      </c>
      <c r="I5" s="4">
        <f t="shared" si="3"/>
        <v>0</v>
      </c>
      <c r="K5">
        <v>36.5</v>
      </c>
      <c r="L5">
        <f t="shared" si="10"/>
        <v>54</v>
      </c>
      <c r="M5" s="4">
        <f t="shared" si="4"/>
        <v>36.5</v>
      </c>
      <c r="N5" s="4">
        <f t="shared" si="5"/>
        <v>0</v>
      </c>
      <c r="P5">
        <v>66.5</v>
      </c>
      <c r="Q5">
        <f t="shared" si="11"/>
        <v>79</v>
      </c>
      <c r="R5" s="4">
        <f t="shared" si="6"/>
        <v>66.5</v>
      </c>
      <c r="S5" s="4">
        <f t="shared" si="7"/>
        <v>0</v>
      </c>
    </row>
    <row r="6" spans="1:19" x14ac:dyDescent="0.25">
      <c r="A6">
        <v>11.3</v>
      </c>
      <c r="B6">
        <f t="shared" si="8"/>
        <v>5</v>
      </c>
      <c r="C6" s="4">
        <f t="shared" si="0"/>
        <v>11.3</v>
      </c>
      <c r="D6" s="4">
        <f t="shared" si="1"/>
        <v>0</v>
      </c>
      <c r="F6">
        <v>20.5</v>
      </c>
      <c r="G6">
        <f t="shared" si="9"/>
        <v>30</v>
      </c>
      <c r="H6" s="4">
        <f t="shared" si="2"/>
        <v>20.5</v>
      </c>
      <c r="I6" s="4">
        <f t="shared" si="3"/>
        <v>0</v>
      </c>
      <c r="K6">
        <v>37.4</v>
      </c>
      <c r="L6">
        <f t="shared" si="10"/>
        <v>55</v>
      </c>
      <c r="M6" s="4">
        <f t="shared" si="4"/>
        <v>37.4</v>
      </c>
      <c r="N6" s="4">
        <f t="shared" si="5"/>
        <v>0</v>
      </c>
      <c r="P6">
        <v>68.099999999999994</v>
      </c>
      <c r="Q6">
        <f t="shared" si="11"/>
        <v>80</v>
      </c>
      <c r="R6" s="4">
        <f t="shared" si="6"/>
        <v>68.099999999999994</v>
      </c>
      <c r="S6" s="4">
        <f t="shared" si="7"/>
        <v>0</v>
      </c>
    </row>
    <row r="7" spans="1:19" x14ac:dyDescent="0.25">
      <c r="A7">
        <v>11.5</v>
      </c>
      <c r="B7">
        <f t="shared" si="8"/>
        <v>6</v>
      </c>
      <c r="C7" s="4">
        <f t="shared" si="0"/>
        <v>11.5</v>
      </c>
      <c r="D7" s="4">
        <f t="shared" si="1"/>
        <v>0</v>
      </c>
      <c r="F7">
        <v>21</v>
      </c>
      <c r="G7">
        <f t="shared" si="9"/>
        <v>31</v>
      </c>
      <c r="H7" s="4">
        <f t="shared" si="2"/>
        <v>21</v>
      </c>
      <c r="I7" s="4">
        <f t="shared" si="3"/>
        <v>0</v>
      </c>
      <c r="K7">
        <v>38.299999999999997</v>
      </c>
      <c r="L7">
        <f t="shared" si="10"/>
        <v>56</v>
      </c>
      <c r="M7" s="4">
        <f t="shared" si="4"/>
        <v>38.299999999999997</v>
      </c>
      <c r="N7" s="4">
        <f t="shared" si="5"/>
        <v>0</v>
      </c>
      <c r="P7">
        <v>69.8</v>
      </c>
      <c r="Q7">
        <f t="shared" si="11"/>
        <v>81</v>
      </c>
      <c r="R7" s="4">
        <f t="shared" si="6"/>
        <v>69.8</v>
      </c>
      <c r="S7" s="4">
        <f t="shared" si="7"/>
        <v>0</v>
      </c>
    </row>
    <row r="8" spans="1:19" x14ac:dyDescent="0.25">
      <c r="A8">
        <v>11.8</v>
      </c>
      <c r="B8">
        <f t="shared" si="8"/>
        <v>7</v>
      </c>
      <c r="C8" s="4">
        <f t="shared" si="0"/>
        <v>11.8</v>
      </c>
      <c r="D8" s="4">
        <f t="shared" si="1"/>
        <v>0</v>
      </c>
      <c r="F8">
        <v>21.5</v>
      </c>
      <c r="G8">
        <f t="shared" si="9"/>
        <v>32</v>
      </c>
      <c r="H8" s="4">
        <f t="shared" si="2"/>
        <v>21.5</v>
      </c>
      <c r="I8" s="4">
        <f t="shared" si="3"/>
        <v>0</v>
      </c>
      <c r="K8">
        <v>39.200000000000003</v>
      </c>
      <c r="L8">
        <f t="shared" si="10"/>
        <v>57</v>
      </c>
      <c r="M8" s="4">
        <f t="shared" si="4"/>
        <v>39.200000000000003</v>
      </c>
      <c r="N8" s="4">
        <f t="shared" si="5"/>
        <v>0</v>
      </c>
      <c r="P8">
        <v>71.5</v>
      </c>
      <c r="Q8">
        <f t="shared" si="11"/>
        <v>82</v>
      </c>
      <c r="R8" s="4">
        <f t="shared" si="6"/>
        <v>71.5</v>
      </c>
      <c r="S8" s="4">
        <f t="shared" si="7"/>
        <v>0</v>
      </c>
    </row>
    <row r="9" spans="1:19" x14ac:dyDescent="0.25">
      <c r="A9">
        <v>12.1</v>
      </c>
      <c r="B9">
        <f t="shared" si="8"/>
        <v>8</v>
      </c>
      <c r="C9" s="4">
        <f t="shared" si="0"/>
        <v>12.1</v>
      </c>
      <c r="D9" s="4">
        <f t="shared" si="1"/>
        <v>0</v>
      </c>
      <c r="F9">
        <v>22.1</v>
      </c>
      <c r="G9">
        <f t="shared" si="9"/>
        <v>33</v>
      </c>
      <c r="H9" s="4">
        <f t="shared" si="2"/>
        <v>22.1</v>
      </c>
      <c r="I9" s="4">
        <f t="shared" si="3"/>
        <v>0</v>
      </c>
      <c r="K9">
        <v>40.200000000000003</v>
      </c>
      <c r="L9">
        <f t="shared" si="10"/>
        <v>58</v>
      </c>
      <c r="M9" s="4">
        <f t="shared" si="4"/>
        <v>40.200000000000003</v>
      </c>
      <c r="N9" s="4">
        <f t="shared" si="5"/>
        <v>0</v>
      </c>
      <c r="P9">
        <v>73.2</v>
      </c>
      <c r="Q9">
        <f t="shared" si="11"/>
        <v>83</v>
      </c>
      <c r="R9" s="4">
        <f t="shared" si="6"/>
        <v>73.2</v>
      </c>
      <c r="S9" s="4">
        <f t="shared" si="7"/>
        <v>0</v>
      </c>
    </row>
    <row r="10" spans="1:19" x14ac:dyDescent="0.25">
      <c r="A10">
        <v>12.4</v>
      </c>
      <c r="B10">
        <f t="shared" si="8"/>
        <v>9</v>
      </c>
      <c r="C10" s="4">
        <f t="shared" si="0"/>
        <v>12.4</v>
      </c>
      <c r="D10" s="4">
        <f t="shared" si="1"/>
        <v>0</v>
      </c>
      <c r="F10">
        <v>22.6</v>
      </c>
      <c r="G10">
        <f t="shared" si="9"/>
        <v>34</v>
      </c>
      <c r="H10" s="4">
        <f t="shared" si="2"/>
        <v>22.6</v>
      </c>
      <c r="I10" s="4">
        <f t="shared" si="3"/>
        <v>0</v>
      </c>
      <c r="K10">
        <v>41.2</v>
      </c>
      <c r="L10">
        <f t="shared" si="10"/>
        <v>59</v>
      </c>
      <c r="M10" s="4">
        <f t="shared" si="4"/>
        <v>41.2</v>
      </c>
      <c r="N10" s="4">
        <f t="shared" si="5"/>
        <v>0</v>
      </c>
      <c r="P10">
        <v>75</v>
      </c>
      <c r="Q10">
        <f t="shared" si="11"/>
        <v>84</v>
      </c>
      <c r="R10" s="4">
        <f t="shared" si="6"/>
        <v>75</v>
      </c>
      <c r="S10" s="4">
        <f t="shared" si="7"/>
        <v>0</v>
      </c>
    </row>
    <row r="11" spans="1:19" x14ac:dyDescent="0.25">
      <c r="A11">
        <v>12.7</v>
      </c>
      <c r="B11">
        <f t="shared" si="8"/>
        <v>10</v>
      </c>
      <c r="C11" s="4">
        <f t="shared" si="0"/>
        <v>12.7</v>
      </c>
      <c r="D11" s="4">
        <f t="shared" si="1"/>
        <v>0</v>
      </c>
      <c r="F11">
        <v>23.2</v>
      </c>
      <c r="G11">
        <f t="shared" si="9"/>
        <v>35</v>
      </c>
      <c r="H11" s="4">
        <f t="shared" si="2"/>
        <v>23.2</v>
      </c>
      <c r="I11" s="4">
        <f t="shared" si="3"/>
        <v>0</v>
      </c>
      <c r="K11">
        <v>42.2</v>
      </c>
      <c r="L11">
        <f t="shared" si="10"/>
        <v>60</v>
      </c>
      <c r="M11" s="4">
        <f t="shared" si="4"/>
        <v>42.2</v>
      </c>
      <c r="N11" s="4">
        <f t="shared" si="5"/>
        <v>0</v>
      </c>
      <c r="P11">
        <v>76.8</v>
      </c>
      <c r="Q11">
        <f t="shared" si="11"/>
        <v>85</v>
      </c>
      <c r="R11" s="4">
        <f t="shared" si="6"/>
        <v>76.8</v>
      </c>
      <c r="S11" s="4">
        <f t="shared" si="7"/>
        <v>0</v>
      </c>
    </row>
    <row r="12" spans="1:19" x14ac:dyDescent="0.25">
      <c r="A12">
        <v>13</v>
      </c>
      <c r="B12">
        <f t="shared" si="8"/>
        <v>11</v>
      </c>
      <c r="C12" s="4">
        <f t="shared" si="0"/>
        <v>13</v>
      </c>
      <c r="D12" s="4">
        <f t="shared" si="1"/>
        <v>0</v>
      </c>
      <c r="F12">
        <v>23.7</v>
      </c>
      <c r="G12">
        <f t="shared" si="9"/>
        <v>36</v>
      </c>
      <c r="H12" s="4">
        <f t="shared" si="2"/>
        <v>23.7</v>
      </c>
      <c r="I12" s="4">
        <f t="shared" si="3"/>
        <v>0</v>
      </c>
      <c r="K12">
        <v>43.2</v>
      </c>
      <c r="L12">
        <f t="shared" si="10"/>
        <v>61</v>
      </c>
      <c r="M12" s="4">
        <f t="shared" si="4"/>
        <v>43.2</v>
      </c>
      <c r="N12" s="4">
        <f t="shared" si="5"/>
        <v>0</v>
      </c>
      <c r="P12">
        <v>78.7</v>
      </c>
      <c r="Q12">
        <f t="shared" si="11"/>
        <v>86</v>
      </c>
      <c r="R12" s="4">
        <f t="shared" si="6"/>
        <v>78.7</v>
      </c>
      <c r="S12" s="4">
        <f t="shared" si="7"/>
        <v>0</v>
      </c>
    </row>
    <row r="13" spans="1:19" x14ac:dyDescent="0.25">
      <c r="A13">
        <v>13.3</v>
      </c>
      <c r="B13">
        <f t="shared" si="8"/>
        <v>12</v>
      </c>
      <c r="C13" s="4">
        <f t="shared" si="0"/>
        <v>13.3</v>
      </c>
      <c r="D13" s="4">
        <f t="shared" si="1"/>
        <v>0</v>
      </c>
      <c r="F13">
        <v>24.3</v>
      </c>
      <c r="G13">
        <f t="shared" si="9"/>
        <v>37</v>
      </c>
      <c r="H13" s="4">
        <f t="shared" si="2"/>
        <v>24.3</v>
      </c>
      <c r="I13" s="4">
        <f t="shared" si="3"/>
        <v>0</v>
      </c>
      <c r="K13">
        <v>44.2</v>
      </c>
      <c r="L13">
        <f t="shared" si="10"/>
        <v>62</v>
      </c>
      <c r="M13" s="4">
        <f t="shared" si="4"/>
        <v>44.2</v>
      </c>
      <c r="N13" s="4">
        <f t="shared" si="5"/>
        <v>0</v>
      </c>
      <c r="P13">
        <v>80.599999999999994</v>
      </c>
      <c r="Q13">
        <f t="shared" si="11"/>
        <v>87</v>
      </c>
      <c r="R13" s="4">
        <f t="shared" si="6"/>
        <v>80.599999999999994</v>
      </c>
      <c r="S13" s="4">
        <f t="shared" si="7"/>
        <v>0</v>
      </c>
    </row>
    <row r="14" spans="1:19" x14ac:dyDescent="0.25">
      <c r="A14">
        <v>13.7</v>
      </c>
      <c r="B14">
        <f t="shared" si="8"/>
        <v>13</v>
      </c>
      <c r="C14" s="4">
        <f t="shared" si="0"/>
        <v>13.7</v>
      </c>
      <c r="D14" s="4">
        <f t="shared" si="1"/>
        <v>0</v>
      </c>
      <c r="F14">
        <v>24.9</v>
      </c>
      <c r="G14">
        <f t="shared" si="9"/>
        <v>38</v>
      </c>
      <c r="H14" s="4">
        <f t="shared" si="2"/>
        <v>24.9</v>
      </c>
      <c r="I14" s="4">
        <f t="shared" si="3"/>
        <v>0</v>
      </c>
      <c r="K14">
        <v>45.2</v>
      </c>
      <c r="L14">
        <f t="shared" si="10"/>
        <v>63</v>
      </c>
      <c r="M14" s="4">
        <f t="shared" si="4"/>
        <v>45.3</v>
      </c>
      <c r="N14" s="4">
        <f t="shared" si="5"/>
        <v>-9.9999999999994316E-2</v>
      </c>
      <c r="P14">
        <v>82.5</v>
      </c>
      <c r="Q14">
        <f t="shared" si="11"/>
        <v>88</v>
      </c>
      <c r="R14" s="4">
        <f t="shared" si="6"/>
        <v>82.5</v>
      </c>
      <c r="S14" s="4">
        <f t="shared" si="7"/>
        <v>0</v>
      </c>
    </row>
    <row r="15" spans="1:19" x14ac:dyDescent="0.25">
      <c r="A15">
        <v>14</v>
      </c>
      <c r="B15">
        <f t="shared" si="8"/>
        <v>14</v>
      </c>
      <c r="C15" s="4">
        <f t="shared" si="0"/>
        <v>14</v>
      </c>
      <c r="D15" s="4">
        <f t="shared" si="1"/>
        <v>0</v>
      </c>
      <c r="F15">
        <v>25.5</v>
      </c>
      <c r="G15">
        <f t="shared" si="9"/>
        <v>39</v>
      </c>
      <c r="H15" s="4">
        <f t="shared" si="2"/>
        <v>25.5</v>
      </c>
      <c r="I15" s="4">
        <f t="shared" si="3"/>
        <v>0</v>
      </c>
      <c r="K15">
        <v>46.4</v>
      </c>
      <c r="L15">
        <f t="shared" si="10"/>
        <v>64</v>
      </c>
      <c r="M15" s="4">
        <f t="shared" si="4"/>
        <v>46.4</v>
      </c>
      <c r="N15" s="4">
        <f t="shared" si="5"/>
        <v>0</v>
      </c>
      <c r="P15">
        <v>84.5</v>
      </c>
      <c r="Q15">
        <f t="shared" si="11"/>
        <v>89</v>
      </c>
      <c r="R15" s="4">
        <f t="shared" si="6"/>
        <v>84.5</v>
      </c>
      <c r="S15" s="4">
        <f t="shared" si="7"/>
        <v>0</v>
      </c>
    </row>
    <row r="16" spans="1:19" x14ac:dyDescent="0.25">
      <c r="A16">
        <v>14.3</v>
      </c>
      <c r="B16">
        <f t="shared" si="8"/>
        <v>15</v>
      </c>
      <c r="C16" s="4">
        <f t="shared" si="0"/>
        <v>14.3</v>
      </c>
      <c r="D16" s="4">
        <f t="shared" si="1"/>
        <v>0</v>
      </c>
      <c r="F16">
        <v>26.1</v>
      </c>
      <c r="G16">
        <f t="shared" si="9"/>
        <v>40</v>
      </c>
      <c r="H16" s="4">
        <f t="shared" si="2"/>
        <v>26.1</v>
      </c>
      <c r="I16" s="4">
        <f t="shared" si="3"/>
        <v>0</v>
      </c>
      <c r="K16">
        <v>47.5</v>
      </c>
      <c r="L16">
        <f t="shared" si="10"/>
        <v>65</v>
      </c>
      <c r="M16" s="4">
        <f t="shared" si="4"/>
        <v>47.5</v>
      </c>
      <c r="N16" s="4">
        <f t="shared" si="5"/>
        <v>0</v>
      </c>
      <c r="P16">
        <v>86.6</v>
      </c>
      <c r="Q16">
        <f t="shared" si="11"/>
        <v>90</v>
      </c>
      <c r="R16" s="4">
        <f t="shared" si="6"/>
        <v>86.6</v>
      </c>
      <c r="S16" s="4">
        <f t="shared" si="7"/>
        <v>0</v>
      </c>
    </row>
    <row r="17" spans="1:19" x14ac:dyDescent="0.25">
      <c r="A17">
        <v>14.7</v>
      </c>
      <c r="B17">
        <f t="shared" si="8"/>
        <v>16</v>
      </c>
      <c r="C17" s="4">
        <f t="shared" si="0"/>
        <v>14.7</v>
      </c>
      <c r="D17" s="4">
        <f t="shared" si="1"/>
        <v>0</v>
      </c>
      <c r="F17">
        <v>26.7</v>
      </c>
      <c r="G17">
        <f t="shared" si="9"/>
        <v>41</v>
      </c>
      <c r="H17" s="4">
        <f t="shared" si="2"/>
        <v>26.7</v>
      </c>
      <c r="I17" s="4">
        <f t="shared" si="3"/>
        <v>0</v>
      </c>
      <c r="K17">
        <v>48.7</v>
      </c>
      <c r="L17">
        <f t="shared" si="10"/>
        <v>66</v>
      </c>
      <c r="M17" s="4">
        <f t="shared" si="4"/>
        <v>48.7</v>
      </c>
      <c r="N17" s="4">
        <f t="shared" si="5"/>
        <v>0</v>
      </c>
      <c r="P17">
        <v>88.7</v>
      </c>
      <c r="Q17">
        <f t="shared" si="11"/>
        <v>91</v>
      </c>
      <c r="R17" s="4">
        <f t="shared" si="6"/>
        <v>88.7</v>
      </c>
      <c r="S17" s="4">
        <f t="shared" si="7"/>
        <v>0</v>
      </c>
    </row>
    <row r="18" spans="1:19" x14ac:dyDescent="0.25">
      <c r="A18">
        <v>15</v>
      </c>
      <c r="B18">
        <f t="shared" si="8"/>
        <v>17</v>
      </c>
      <c r="C18" s="4">
        <f t="shared" si="0"/>
        <v>15</v>
      </c>
      <c r="D18" s="4">
        <f t="shared" si="1"/>
        <v>0</v>
      </c>
      <c r="F18">
        <v>27.4</v>
      </c>
      <c r="G18">
        <f t="shared" si="9"/>
        <v>42</v>
      </c>
      <c r="H18" s="4">
        <f t="shared" si="2"/>
        <v>27.4</v>
      </c>
      <c r="I18" s="4">
        <f t="shared" si="3"/>
        <v>0</v>
      </c>
      <c r="K18">
        <v>49.9</v>
      </c>
      <c r="L18">
        <f t="shared" si="10"/>
        <v>67</v>
      </c>
      <c r="M18" s="4">
        <f t="shared" si="4"/>
        <v>49.9</v>
      </c>
      <c r="N18" s="4">
        <f t="shared" si="5"/>
        <v>0</v>
      </c>
      <c r="P18">
        <v>90.9</v>
      </c>
      <c r="Q18">
        <f t="shared" si="11"/>
        <v>92</v>
      </c>
      <c r="R18" s="4">
        <f t="shared" si="6"/>
        <v>90.9</v>
      </c>
      <c r="S18" s="4">
        <f t="shared" si="7"/>
        <v>0</v>
      </c>
    </row>
    <row r="19" spans="1:19" x14ac:dyDescent="0.25">
      <c r="A19">
        <v>15.4</v>
      </c>
      <c r="B19">
        <f t="shared" si="8"/>
        <v>18</v>
      </c>
      <c r="C19" s="4">
        <f t="shared" si="0"/>
        <v>15.4</v>
      </c>
      <c r="D19" s="4">
        <f t="shared" si="1"/>
        <v>0</v>
      </c>
      <c r="F19">
        <v>28</v>
      </c>
      <c r="G19">
        <f t="shared" si="9"/>
        <v>43</v>
      </c>
      <c r="H19" s="4">
        <f t="shared" si="2"/>
        <v>28</v>
      </c>
      <c r="I19" s="4">
        <f t="shared" si="3"/>
        <v>0</v>
      </c>
      <c r="K19">
        <v>51.1</v>
      </c>
      <c r="L19">
        <f t="shared" si="10"/>
        <v>68</v>
      </c>
      <c r="M19" s="4">
        <f t="shared" si="4"/>
        <v>51.1</v>
      </c>
      <c r="N19" s="4">
        <f t="shared" si="5"/>
        <v>0</v>
      </c>
      <c r="P19">
        <v>93.1</v>
      </c>
      <c r="Q19">
        <f t="shared" si="11"/>
        <v>93</v>
      </c>
      <c r="R19" s="4">
        <f t="shared" si="6"/>
        <v>93.1</v>
      </c>
      <c r="S19" s="4">
        <f t="shared" si="7"/>
        <v>0</v>
      </c>
    </row>
    <row r="20" spans="1:19" x14ac:dyDescent="0.25">
      <c r="A20">
        <v>15.8</v>
      </c>
      <c r="B20">
        <f t="shared" si="8"/>
        <v>19</v>
      </c>
      <c r="C20" s="4">
        <f t="shared" si="0"/>
        <v>15.8</v>
      </c>
      <c r="D20" s="4">
        <f t="shared" si="1"/>
        <v>0</v>
      </c>
      <c r="F20">
        <v>28.7</v>
      </c>
      <c r="G20">
        <f t="shared" si="9"/>
        <v>44</v>
      </c>
      <c r="H20" s="4">
        <f t="shared" si="2"/>
        <v>28.7</v>
      </c>
      <c r="I20" s="4">
        <f t="shared" si="3"/>
        <v>0</v>
      </c>
      <c r="K20">
        <v>52.3</v>
      </c>
      <c r="L20">
        <f t="shared" si="10"/>
        <v>69</v>
      </c>
      <c r="M20" s="4">
        <f t="shared" si="4"/>
        <v>52.3</v>
      </c>
      <c r="N20" s="4">
        <f t="shared" si="5"/>
        <v>0</v>
      </c>
      <c r="P20">
        <v>95.3</v>
      </c>
      <c r="Q20">
        <f t="shared" si="11"/>
        <v>94</v>
      </c>
      <c r="R20" s="4">
        <f t="shared" si="6"/>
        <v>95.3</v>
      </c>
      <c r="S20" s="4">
        <f t="shared" si="7"/>
        <v>0</v>
      </c>
    </row>
    <row r="21" spans="1:19" x14ac:dyDescent="0.25">
      <c r="A21">
        <v>16.2</v>
      </c>
      <c r="B21">
        <f t="shared" si="8"/>
        <v>20</v>
      </c>
      <c r="C21" s="4">
        <f t="shared" si="0"/>
        <v>16.2</v>
      </c>
      <c r="D21" s="4">
        <f t="shared" si="1"/>
        <v>0</v>
      </c>
      <c r="F21">
        <v>29.4</v>
      </c>
      <c r="G21">
        <f t="shared" si="9"/>
        <v>45</v>
      </c>
      <c r="H21" s="4">
        <f t="shared" si="2"/>
        <v>29.4</v>
      </c>
      <c r="I21" s="4">
        <f t="shared" si="3"/>
        <v>0</v>
      </c>
      <c r="K21">
        <v>53.6</v>
      </c>
      <c r="L21">
        <f t="shared" si="10"/>
        <v>70</v>
      </c>
      <c r="M21" s="4">
        <f t="shared" si="4"/>
        <v>53.6</v>
      </c>
      <c r="N21" s="4">
        <f t="shared" si="5"/>
        <v>0</v>
      </c>
      <c r="P21">
        <v>97.6</v>
      </c>
      <c r="Q21">
        <f t="shared" si="11"/>
        <v>95</v>
      </c>
      <c r="R21" s="4">
        <f t="shared" si="6"/>
        <v>97.6</v>
      </c>
      <c r="S21" s="4">
        <f t="shared" si="7"/>
        <v>0</v>
      </c>
    </row>
    <row r="22" spans="1:19" x14ac:dyDescent="0.25">
      <c r="A22">
        <v>16.5</v>
      </c>
      <c r="B22">
        <f t="shared" si="8"/>
        <v>21</v>
      </c>
      <c r="C22" s="4">
        <f t="shared" si="0"/>
        <v>16.5</v>
      </c>
      <c r="D22" s="4">
        <f t="shared" si="1"/>
        <v>0</v>
      </c>
      <c r="F22">
        <v>30.1</v>
      </c>
      <c r="G22">
        <f t="shared" si="9"/>
        <v>46</v>
      </c>
      <c r="H22" s="4">
        <f t="shared" si="2"/>
        <v>30.1</v>
      </c>
      <c r="I22" s="4">
        <f t="shared" si="3"/>
        <v>0</v>
      </c>
      <c r="K22">
        <v>54.9</v>
      </c>
      <c r="L22">
        <f t="shared" si="10"/>
        <v>71</v>
      </c>
      <c r="M22" s="4">
        <f t="shared" si="4"/>
        <v>54.9</v>
      </c>
      <c r="N22" s="4">
        <f t="shared" si="5"/>
        <v>0</v>
      </c>
      <c r="S22" s="4"/>
    </row>
    <row r="23" spans="1:19" x14ac:dyDescent="0.25">
      <c r="A23">
        <v>16.899999999999999</v>
      </c>
      <c r="B23">
        <f t="shared" si="8"/>
        <v>22</v>
      </c>
      <c r="C23" s="4">
        <f t="shared" si="0"/>
        <v>16.899999999999999</v>
      </c>
      <c r="D23" s="4">
        <f t="shared" si="1"/>
        <v>0</v>
      </c>
      <c r="F23">
        <v>30.9</v>
      </c>
      <c r="G23">
        <f t="shared" si="9"/>
        <v>47</v>
      </c>
      <c r="H23" s="4">
        <f t="shared" si="2"/>
        <v>30.9</v>
      </c>
      <c r="I23" s="4">
        <f t="shared" si="3"/>
        <v>0</v>
      </c>
      <c r="K23">
        <v>56.2</v>
      </c>
      <c r="L23">
        <f t="shared" si="10"/>
        <v>72</v>
      </c>
      <c r="M23" s="4">
        <f t="shared" si="4"/>
        <v>56.2</v>
      </c>
      <c r="N23" s="4">
        <f t="shared" si="5"/>
        <v>0</v>
      </c>
      <c r="S23" s="4"/>
    </row>
    <row r="24" spans="1:19" x14ac:dyDescent="0.25">
      <c r="A24">
        <v>17.399999999999999</v>
      </c>
      <c r="B24">
        <f t="shared" si="8"/>
        <v>23</v>
      </c>
      <c r="C24" s="4">
        <f t="shared" si="0"/>
        <v>17.399999999999999</v>
      </c>
      <c r="D24" s="4">
        <f t="shared" si="1"/>
        <v>0</v>
      </c>
      <c r="F24">
        <v>31.6</v>
      </c>
      <c r="G24">
        <f t="shared" si="9"/>
        <v>48</v>
      </c>
      <c r="H24" s="4">
        <f t="shared" si="2"/>
        <v>31.6</v>
      </c>
      <c r="I24" s="4">
        <f t="shared" si="3"/>
        <v>0</v>
      </c>
      <c r="K24">
        <v>57.6</v>
      </c>
      <c r="L24">
        <f t="shared" si="10"/>
        <v>73</v>
      </c>
      <c r="M24" s="4">
        <f t="shared" si="4"/>
        <v>57.6</v>
      </c>
      <c r="N24" s="4">
        <f t="shared" si="5"/>
        <v>0</v>
      </c>
      <c r="S24" s="4"/>
    </row>
    <row r="25" spans="1:19" x14ac:dyDescent="0.25">
      <c r="A25">
        <v>17.8</v>
      </c>
      <c r="B25">
        <f t="shared" si="8"/>
        <v>24</v>
      </c>
      <c r="C25" s="4">
        <f t="shared" si="0"/>
        <v>17.8</v>
      </c>
      <c r="D25" s="4">
        <f t="shared" si="1"/>
        <v>0</v>
      </c>
      <c r="F25">
        <v>32.4</v>
      </c>
      <c r="G25">
        <f t="shared" si="9"/>
        <v>49</v>
      </c>
      <c r="H25" s="4">
        <f t="shared" si="2"/>
        <v>32.4</v>
      </c>
      <c r="I25" s="4">
        <f t="shared" si="3"/>
        <v>0</v>
      </c>
      <c r="K25">
        <v>59</v>
      </c>
      <c r="L25">
        <f t="shared" si="10"/>
        <v>74</v>
      </c>
      <c r="M25" s="4">
        <f t="shared" si="4"/>
        <v>59</v>
      </c>
      <c r="N25" s="4">
        <f t="shared" si="5"/>
        <v>0</v>
      </c>
      <c r="S2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20</vt:i4>
      </vt:variant>
    </vt:vector>
  </HeadingPairs>
  <TitlesOfParts>
    <vt:vector size="22" baseType="lpstr">
      <vt:lpstr>Sheet1</vt:lpstr>
      <vt:lpstr>standard resistors</vt:lpstr>
      <vt:lpstr>_R3</vt:lpstr>
      <vt:lpstr>_R3_1</vt:lpstr>
      <vt:lpstr>_R4</vt:lpstr>
      <vt:lpstr>_R4_tol_min</vt:lpstr>
      <vt:lpstr>_Rg1</vt:lpstr>
      <vt:lpstr>_Rg1_</vt:lpstr>
      <vt:lpstr>_Rg1_1</vt:lpstr>
      <vt:lpstr>_Rg2</vt:lpstr>
      <vt:lpstr>_Rg2_1</vt:lpstr>
      <vt:lpstr>Rf</vt:lpstr>
      <vt:lpstr>Rf_1</vt:lpstr>
      <vt:lpstr>Rg</vt:lpstr>
      <vt:lpstr>rtol</vt:lpstr>
      <vt:lpstr>'standard resistors'!standard_resistors</vt:lpstr>
      <vt:lpstr>VFB</vt:lpstr>
      <vt:lpstr>VFB_tol</vt:lpstr>
      <vt:lpstr>VFB_tol_min</vt:lpstr>
      <vt:lpstr>Vmax</vt:lpstr>
      <vt:lpstr>Vmin</vt:lpstr>
      <vt:lpstr>Vsup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Paul</dc:creator>
  <cp:lastModifiedBy>Christopher Paul</cp:lastModifiedBy>
  <dcterms:created xsi:type="dcterms:W3CDTF">2025-12-01T14:44:05Z</dcterms:created>
  <dcterms:modified xsi:type="dcterms:W3CDTF">2025-12-02T15:35:45Z</dcterms:modified>
</cp:coreProperties>
</file>